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tapi\Desktop\CryoSoft\Cryoevap-Opti\CryoEvap\Results\Data\"/>
    </mc:Choice>
  </mc:AlternateContent>
  <xr:revisionPtr revIDLastSave="0" documentId="13_ncr:1_{F3A74EAA-A6E1-4A0C-9B90-00DC1D5A7DBD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H21" i="1"/>
  <c r="G21" i="1"/>
  <c r="H20" i="1"/>
  <c r="G20" i="1"/>
  <c r="H19" i="1"/>
  <c r="G19" i="1"/>
  <c r="H18" i="1"/>
  <c r="G18" i="1"/>
  <c r="D18" i="1"/>
  <c r="D19" i="1"/>
  <c r="D20" i="1"/>
  <c r="C19" i="1"/>
  <c r="C20" i="1"/>
  <c r="C18" i="1"/>
</calcChain>
</file>

<file path=xl/sharedStrings.xml><?xml version="1.0" encoding="utf-8"?>
<sst xmlns="http://schemas.openxmlformats.org/spreadsheetml/2006/main" count="48" uniqueCount="13">
  <si>
    <t>Parameter</t>
  </si>
  <si>
    <t>U_L</t>
  </si>
  <si>
    <t>U_V</t>
  </si>
  <si>
    <t>eta_w</t>
  </si>
  <si>
    <t>Local sensitivity (normalized)</t>
  </si>
  <si>
    <t>Sensitivity in the optimum</t>
  </si>
  <si>
    <t>LF 0.95, rq 30%, 12 h</t>
  </si>
  <si>
    <t>LF 0.05, rq 30%, 12 h</t>
  </si>
  <si>
    <t>LF 0.05</t>
  </si>
  <si>
    <t>LF 0.95</t>
  </si>
  <si>
    <t>eta</t>
  </si>
  <si>
    <t>LF 0.05, rq 70%, 12 h</t>
  </si>
  <si>
    <t>LF 0.95, rq 70%, 12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</si>
</sst>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tabSelected="1" topLeftCell="A16" zoomScale="205" zoomScaleNormal="205" workbookViewId="0">
      <selection activeCell="D21" sqref="B18:D21"/>
    </sheetView>
  </sheetViews>
  <sheetFormatPr baseColWidth="10" defaultColWidth="9.23046875" defaultRowHeight="14.6" x14ac:dyDescent="0.4"/>
  <cols>
    <col min="3" max="3" width="25.15234375" customWidth="1"/>
    <col min="4" max="4" width="23.4609375" customWidth="1"/>
    <col min="6" max="6" width="9.3828125" bestFit="1" customWidth="1"/>
    <col min="7" max="7" width="24.69140625" bestFit="1" customWidth="1"/>
    <col min="8" max="8" width="22.69140625" bestFit="1" customWidth="1"/>
  </cols>
  <sheetData>
    <row r="2" spans="2:8" x14ac:dyDescent="0.4">
      <c r="B2" s="3" t="s">
        <v>6</v>
      </c>
      <c r="C2" s="3"/>
      <c r="D2" s="3"/>
      <c r="F2" s="3" t="s">
        <v>7</v>
      </c>
      <c r="G2" s="3"/>
      <c r="H2" s="3"/>
    </row>
    <row r="3" spans="2:8" x14ac:dyDescent="0.4">
      <c r="B3" s="1" t="s">
        <v>0</v>
      </c>
      <c r="C3" s="1" t="s">
        <v>4</v>
      </c>
      <c r="D3" s="1" t="s">
        <v>5</v>
      </c>
      <c r="F3" s="1" t="s">
        <v>0</v>
      </c>
      <c r="G3" s="1" t="s">
        <v>4</v>
      </c>
      <c r="H3" s="1" t="s">
        <v>5</v>
      </c>
    </row>
    <row r="4" spans="2:8" x14ac:dyDescent="0.4">
      <c r="B4" s="1" t="s">
        <v>1</v>
      </c>
      <c r="C4" s="1">
        <v>0.636277713006002</v>
      </c>
      <c r="D4" s="1">
        <v>-0.95407443850767404</v>
      </c>
      <c r="F4" s="1" t="s">
        <v>1</v>
      </c>
      <c r="G4" s="1">
        <v>3.7409656678908103E-2</v>
      </c>
      <c r="H4" s="1">
        <v>-5.7001281288725197E-2</v>
      </c>
    </row>
    <row r="5" spans="2:8" x14ac:dyDescent="0.4">
      <c r="B5" s="1" t="s">
        <v>2</v>
      </c>
      <c r="C5" s="1">
        <v>3.0073585475241998E-2</v>
      </c>
      <c r="D5" s="1">
        <v>-4.4903585035147603E-2</v>
      </c>
      <c r="F5" s="1" t="s">
        <v>2</v>
      </c>
      <c r="G5" s="1">
        <v>0.62482945485419406</v>
      </c>
      <c r="H5" s="1">
        <v>-0.92917264099310803</v>
      </c>
    </row>
    <row r="6" spans="2:8" x14ac:dyDescent="0.4">
      <c r="B6" s="1" t="s">
        <v>3</v>
      </c>
      <c r="C6" s="1">
        <v>3.0341948375326298E-2</v>
      </c>
      <c r="D6" s="1">
        <v>-4.6622617663990999E-2</v>
      </c>
      <c r="F6" s="1" t="s">
        <v>3</v>
      </c>
      <c r="G6" s="1">
        <v>0.69932209456254701</v>
      </c>
      <c r="H6" s="1">
        <v>-1.15801717415122</v>
      </c>
    </row>
    <row r="7" spans="2:8" x14ac:dyDescent="0.4">
      <c r="B7" s="1" t="s">
        <v>10</v>
      </c>
      <c r="C7" s="1">
        <v>-0.49578636401237303</v>
      </c>
      <c r="D7" s="1">
        <v>-1.48444874650004</v>
      </c>
      <c r="F7" s="1" t="s">
        <v>10</v>
      </c>
      <c r="G7" s="1">
        <v>-0.44745839491968298</v>
      </c>
      <c r="H7" s="1">
        <v>-1.3557280283567601</v>
      </c>
    </row>
    <row r="9" spans="2:8" x14ac:dyDescent="0.4">
      <c r="B9" s="3" t="s">
        <v>12</v>
      </c>
      <c r="C9" s="3"/>
      <c r="D9" s="3"/>
      <c r="F9" s="3" t="s">
        <v>11</v>
      </c>
      <c r="G9" s="3"/>
      <c r="H9" s="3"/>
    </row>
    <row r="10" spans="2:8" x14ac:dyDescent="0.4">
      <c r="B10" s="1" t="s">
        <v>0</v>
      </c>
      <c r="C10" s="1" t="s">
        <v>4</v>
      </c>
      <c r="D10" s="1" t="s">
        <v>5</v>
      </c>
      <c r="F10" s="1" t="s">
        <v>0</v>
      </c>
      <c r="G10" s="1" t="s">
        <v>4</v>
      </c>
      <c r="H10" s="1" t="s">
        <v>5</v>
      </c>
    </row>
    <row r="11" spans="2:8" x14ac:dyDescent="0.4">
      <c r="B11" s="1" t="s">
        <v>1</v>
      </c>
      <c r="C11" s="1">
        <v>0.63635637575154202</v>
      </c>
      <c r="D11" s="1">
        <v>-0.95480656156474797</v>
      </c>
      <c r="F11" s="1" t="s">
        <v>1</v>
      </c>
      <c r="G11" s="1">
        <v>3.7162942965524803E-2</v>
      </c>
      <c r="H11" s="1">
        <v>-5.6267757090271202E-2</v>
      </c>
    </row>
    <row r="12" spans="2:8" x14ac:dyDescent="0.4">
      <c r="B12" s="1" t="s">
        <v>2</v>
      </c>
      <c r="C12" s="1">
        <v>3.0271799990226299E-2</v>
      </c>
      <c r="D12" s="1">
        <v>-4.4103537958190699E-2</v>
      </c>
      <c r="F12" s="1" t="s">
        <v>2</v>
      </c>
      <c r="G12" s="1">
        <v>0.62669664377972301</v>
      </c>
      <c r="H12" s="1">
        <v>-0.933756106660519</v>
      </c>
    </row>
    <row r="13" spans="2:8" x14ac:dyDescent="0.4">
      <c r="B13" s="1" t="s">
        <v>3</v>
      </c>
      <c r="C13" s="1">
        <v>2.8623395809760501E-2</v>
      </c>
      <c r="D13" s="1">
        <v>-5.41593070085747E-2</v>
      </c>
      <c r="F13" s="1" t="s">
        <v>3</v>
      </c>
      <c r="G13" s="1">
        <v>0.66966922492004899</v>
      </c>
      <c r="H13" s="1">
        <v>-1.08096182802186</v>
      </c>
    </row>
    <row r="14" spans="2:8" x14ac:dyDescent="0.4">
      <c r="B14" s="1" t="s">
        <v>10</v>
      </c>
      <c r="C14" s="1">
        <v>-1.1553193057878299</v>
      </c>
      <c r="D14" s="1">
        <v>-3.4608764393433198</v>
      </c>
      <c r="F14" s="1" t="s">
        <v>10</v>
      </c>
      <c r="G14" s="1">
        <v>-1.0447016199927499</v>
      </c>
      <c r="H14" s="1">
        <v>-3.1538391005386801</v>
      </c>
    </row>
    <row r="16" spans="2:8" x14ac:dyDescent="0.4">
      <c r="B16" s="3" t="s">
        <v>9</v>
      </c>
      <c r="C16" s="3"/>
      <c r="D16" s="3"/>
      <c r="F16" s="3" t="s">
        <v>8</v>
      </c>
      <c r="G16" s="3"/>
      <c r="H16" s="3"/>
    </row>
    <row r="17" spans="2:8" x14ac:dyDescent="0.4">
      <c r="B17" s="1" t="s">
        <v>0</v>
      </c>
      <c r="C17" s="1" t="s">
        <v>4</v>
      </c>
      <c r="D17" s="1" t="s">
        <v>5</v>
      </c>
      <c r="F17" s="1" t="s">
        <v>0</v>
      </c>
      <c r="G17" s="1" t="s">
        <v>4</v>
      </c>
      <c r="H17" s="1" t="s">
        <v>5</v>
      </c>
    </row>
    <row r="18" spans="2:8" x14ac:dyDescent="0.4">
      <c r="B18" s="1" t="s">
        <v>1</v>
      </c>
      <c r="C18" s="2">
        <f t="shared" ref="C18:D21" si="0">AVERAGE(C11,C4)</f>
        <v>0.63631704437877201</v>
      </c>
      <c r="D18" s="2">
        <f t="shared" si="0"/>
        <v>-0.95444050003621106</v>
      </c>
      <c r="F18" s="1" t="s">
        <v>1</v>
      </c>
      <c r="G18" s="1">
        <f>AVERAGE(G11,G4)</f>
        <v>3.7286299822216457E-2</v>
      </c>
      <c r="H18" s="1">
        <f>AVERAGE(H11,H4)</f>
        <v>-5.6634519189498203E-2</v>
      </c>
    </row>
    <row r="19" spans="2:8" x14ac:dyDescent="0.4">
      <c r="B19" s="1" t="s">
        <v>2</v>
      </c>
      <c r="C19" s="2">
        <f t="shared" si="0"/>
        <v>3.0172692732734149E-2</v>
      </c>
      <c r="D19" s="2">
        <f t="shared" si="0"/>
        <v>-4.4503561496669147E-2</v>
      </c>
      <c r="F19" s="1" t="s">
        <v>2</v>
      </c>
      <c r="G19" s="1">
        <f t="shared" ref="G19:H19" si="1">AVERAGE(G12,G5)</f>
        <v>0.62576304931695859</v>
      </c>
      <c r="H19" s="1">
        <f t="shared" si="1"/>
        <v>-0.93146437382681357</v>
      </c>
    </row>
    <row r="20" spans="2:8" x14ac:dyDescent="0.4">
      <c r="B20" s="1" t="s">
        <v>3</v>
      </c>
      <c r="C20" s="2">
        <f t="shared" si="0"/>
        <v>2.9482672092543398E-2</v>
      </c>
      <c r="D20" s="2">
        <f t="shared" si="0"/>
        <v>-5.0390962336282846E-2</v>
      </c>
      <c r="F20" s="1" t="s">
        <v>3</v>
      </c>
      <c r="G20" s="1">
        <f t="shared" ref="G20:H21" si="2">AVERAGE(G13,G6)</f>
        <v>0.684495659741298</v>
      </c>
      <c r="H20" s="1">
        <f t="shared" si="2"/>
        <v>-1.11948950108654</v>
      </c>
    </row>
    <row r="21" spans="2:8" x14ac:dyDescent="0.4">
      <c r="B21" s="1" t="s">
        <v>10</v>
      </c>
      <c r="C21" s="2">
        <f t="shared" si="0"/>
        <v>-0.82555283490010145</v>
      </c>
      <c r="D21" s="2">
        <f t="shared" si="0"/>
        <v>-2.4726625929216799</v>
      </c>
      <c r="F21" s="1" t="s">
        <v>10</v>
      </c>
      <c r="G21" s="1">
        <f t="shared" si="2"/>
        <v>-0.74608000745621639</v>
      </c>
      <c r="H21" s="1">
        <f t="shared" si="2"/>
        <v>-2.2547835644477203</v>
      </c>
    </row>
  </sheetData>
  <mergeCells count="6">
    <mergeCell ref="B2:D2"/>
    <mergeCell ref="B9:D9"/>
    <mergeCell ref="F2:H2"/>
    <mergeCell ref="F9:H9"/>
    <mergeCell ref="B16:D16"/>
    <mergeCell ref="F16:H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Tapia García</dc:creator>
  <cp:lastModifiedBy>Ignacio Tomás Tapia García</cp:lastModifiedBy>
  <dcterms:created xsi:type="dcterms:W3CDTF">2015-06-05T18:17:20Z</dcterms:created>
  <dcterms:modified xsi:type="dcterms:W3CDTF">2026-02-12T02:48:22Z</dcterms:modified>
</cp:coreProperties>
</file>